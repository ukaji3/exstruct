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13_ncr:1_{CB96D74A-BC5E-460F-9396-312976D987E8}" xr6:coauthVersionLast="47" xr6:coauthVersionMax="47" xr10:uidLastSave="{00000000-0000-0000-0000-000000000000}"/>
  <bookViews>
    <workbookView xWindow="14028" yWindow="1020" windowWidth="29856" windowHeight="22932" xr2:uid="{00000000-000D-0000-FFFF-FFFF00000000}"/>
  </bookViews>
  <sheets>
    <sheet name="プロジェクトのスケジュール" sheetId="11" r:id="rId1"/>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3" i="11" l="1"/>
  <c r="E9" i="11" s="1"/>
  <c r="E21" i="11" s="1"/>
  <c r="F21" i="11" s="1"/>
  <c r="E22" i="11" s="1"/>
  <c r="F22" i="11" l="1"/>
  <c r="H22" i="11" s="1"/>
  <c r="E23" i="11"/>
  <c r="F9" i="11"/>
  <c r="E10" i="11" s="1"/>
  <c r="I5" i="11"/>
  <c r="I6" i="11" s="1"/>
  <c r="H33" i="11"/>
  <c r="H32" i="11"/>
  <c r="H31" i="11"/>
  <c r="H30" i="11"/>
  <c r="H29" i="11"/>
  <c r="H28" i="11"/>
  <c r="H26" i="11"/>
  <c r="H21" i="11"/>
  <c r="H20" i="11"/>
  <c r="H14" i="11"/>
  <c r="H8" i="11"/>
  <c r="H9" i="11" l="1"/>
  <c r="F23" i="11"/>
  <c r="E25" i="11"/>
  <c r="F10" i="11"/>
  <c r="E11" i="11" s="1"/>
  <c r="E13" i="11"/>
  <c r="E15" i="11" s="1"/>
  <c r="E16" i="11" s="1"/>
  <c r="H27" i="11" l="1"/>
  <c r="F25" i="11"/>
  <c r="H25" i="11" s="1"/>
  <c r="H10" i="11"/>
  <c r="E24" i="11"/>
  <c r="H23" i="11"/>
  <c r="F16" i="11"/>
  <c r="F15" i="11"/>
  <c r="H15" i="11" s="1"/>
  <c r="F13" i="11"/>
  <c r="H13" i="11" s="1"/>
  <c r="F11" i="11"/>
  <c r="E12" i="11" s="1"/>
  <c r="J5" i="11"/>
  <c r="K5" i="11" l="1"/>
  <c r="L5" i="11" l="1"/>
  <c r="M5" i="11" l="1"/>
  <c r="N5" i="11" l="1"/>
  <c r="O5" i="11" l="1"/>
  <c r="P5" i="11" l="1"/>
  <c r="P6" i="11" s="1"/>
  <c r="O6" i="11"/>
  <c r="N6" i="11"/>
  <c r="M6" i="11"/>
  <c r="L6" i="11"/>
  <c r="K6" i="11"/>
  <c r="J6" i="11"/>
  <c r="I4" i="11"/>
  <c r="F24" i="11" l="1"/>
  <c r="H24" i="11" s="1"/>
  <c r="H16" i="11"/>
  <c r="E17" i="11"/>
  <c r="E18" i="11" s="1"/>
  <c r="E19" i="11" s="1"/>
  <c r="H11" i="11"/>
  <c r="F12" i="11"/>
  <c r="H12" i="11" s="1"/>
  <c r="P4" i="11"/>
  <c r="Q5" i="11"/>
  <c r="R5" i="11" l="1"/>
  <c r="S5" i="11" l="1"/>
  <c r="T5" i="11" l="1"/>
  <c r="U5" i="11" l="1"/>
  <c r="V5" i="11" l="1"/>
  <c r="W5" i="11" l="1"/>
  <c r="W6" i="11" s="1"/>
  <c r="V6" i="11"/>
  <c r="U6" i="11"/>
  <c r="T6" i="11"/>
  <c r="S6" i="11"/>
  <c r="R6" i="11"/>
  <c r="Q6" i="11"/>
  <c r="F19" i="11"/>
  <c r="H19" i="11" s="1"/>
  <c r="F18" i="11"/>
  <c r="H18" i="11" s="1"/>
  <c r="F17" i="11"/>
  <c r="H17" i="11" s="1"/>
  <c r="X5" i="11" l="1"/>
  <c r="Y5" i="11" s="1"/>
  <c r="W4" i="1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c r="BA6" i="11" s="1"/>
  <c r="BB5" i="11" l="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alcChain>
</file>

<file path=xl/sharedStrings.xml><?xml version="1.0" encoding="utf-8"?>
<sst xmlns="http://schemas.openxmlformats.org/spreadsheetml/2006/main" count="64" uniqueCount="54">
  <si>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</si>
  <si>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プロジェクト タイトル</t>
  </si>
  <si>
    <t>シンプル ガント チャート (Vertex42.com)</t>
  </si>
  <si>
    <t>セル B2 には会社の名前を入力します。</t>
  </si>
  <si>
    <t>会社名</t>
  </si>
  <si>
    <t>https://www.vertex42.com/ExcelTemplates/simple-gantt-chart.html</t>
  </si>
  <si>
    <t>セル B3 に、プロジェクト主任の名前を入力します。セル E3 には、プロジェクトの開始日を入力します。プロジェクトの開始: ラベルはセル C3 にあります。</t>
  </si>
  <si>
    <t>プロジェクト主任</t>
  </si>
  <si>
    <t>プロジェクトの開始:</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</si>
  <si>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</si>
  <si>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週表示:</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</si>
  <si>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</si>
  <si>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</si>
  <si>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</si>
  <si>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担当者</t>
    <phoneticPr fontId="29"/>
  </si>
  <si>
    <t>進捗状況</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</si>
  <si>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</si>
  <si>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</si>
  <si>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</si>
  <si>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</si>
  <si>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</si>
  <si>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</si>
  <si>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名前</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</si>
  <si>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</si>
  <si>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</si>
  <si>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</si>
  <si>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日付</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</si>
  <si>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</si>
  <si>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</si>
  <si>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この行の上に新しい行を挿入する</t>
  </si>
  <si>
    <t>目的と成功指標の整理</t>
    <rPh sb="0" eb="2">
      <t>モクテキ</t>
    </rPh>
    <rPh sb="3" eb="5">
      <t>セイコウ</t>
    </rPh>
    <rPh sb="5" eb="7">
      <t>シヒョウ</t>
    </rPh>
    <rPh sb="8" eb="10">
      <t>セイリ</t>
    </rPh>
    <phoneticPr fontId="29"/>
  </si>
  <si>
    <t>ステークホルダー要件ヒアリング</t>
    <rPh sb="8" eb="10">
      <t>ヨウケン</t>
    </rPh>
    <phoneticPr fontId="29"/>
  </si>
  <si>
    <t>現場業務フロー整理</t>
    <rPh sb="0" eb="2">
      <t>ゲンジョウ</t>
    </rPh>
    <rPh sb="2" eb="4">
      <t>ギョウム</t>
    </rPh>
    <rPh sb="7" eb="9">
      <t>セイリ</t>
    </rPh>
    <phoneticPr fontId="29"/>
  </si>
  <si>
    <t>スコープ定義と除外事項確定</t>
    <rPh sb="4" eb="6">
      <t>テイギ</t>
    </rPh>
    <rPh sb="7" eb="9">
      <t>ジョガイ</t>
    </rPh>
    <rPh sb="9" eb="11">
      <t>ジコウ</t>
    </rPh>
    <rPh sb="11" eb="13">
      <t>カクテイ</t>
    </rPh>
    <phoneticPr fontId="29"/>
  </si>
  <si>
    <t>要件レビューと合意形成</t>
    <rPh sb="0" eb="2">
      <t>ヨウケン</t>
    </rPh>
    <rPh sb="7" eb="9">
      <t>ゴウイ</t>
    </rPh>
    <rPh sb="9" eb="11">
      <t>ケイセイ</t>
    </rPh>
    <phoneticPr fontId="29"/>
  </si>
  <si>
    <t>フェーズ 1 企画・要件</t>
    <rPh sb="7" eb="9">
      <t>キカク</t>
    </rPh>
    <rPh sb="10" eb="12">
      <t>ヨウケン</t>
    </rPh>
    <phoneticPr fontId="29"/>
  </si>
  <si>
    <t>フェーズ 2 設計・準備</t>
    <rPh sb="7" eb="9">
      <t>セッケイ</t>
    </rPh>
    <rPh sb="10" eb="12">
      <t>ジュンビ</t>
    </rPh>
    <phoneticPr fontId="29"/>
  </si>
  <si>
    <t>画面/帳票の基本設計</t>
    <rPh sb="0" eb="2">
      <t>ガメン</t>
    </rPh>
    <rPh sb="3" eb="5">
      <t>チョウヒョウ</t>
    </rPh>
    <rPh sb="6" eb="10">
      <t>キホンセッケイ</t>
    </rPh>
    <phoneticPr fontId="29"/>
  </si>
  <si>
    <t>データ項目・マスタ設計</t>
    <rPh sb="3" eb="5">
      <t>コウモク</t>
    </rPh>
    <rPh sb="9" eb="11">
      <t>セッケイ</t>
    </rPh>
    <phoneticPr fontId="29"/>
  </si>
  <si>
    <t>インタフェース仕様策定</t>
    <rPh sb="7" eb="9">
      <t>シヨウ</t>
    </rPh>
    <rPh sb="9" eb="11">
      <t>サクテイ</t>
    </rPh>
    <phoneticPr fontId="29"/>
  </si>
  <si>
    <t>リスク洗い出しと対策案</t>
    <rPh sb="3" eb="4">
      <t>アラ</t>
    </rPh>
    <rPh sb="5" eb="6">
      <t>ダ</t>
    </rPh>
    <rPh sb="8" eb="10">
      <t>タイサク</t>
    </rPh>
    <rPh sb="10" eb="11">
      <t>アン</t>
    </rPh>
    <phoneticPr fontId="29"/>
  </si>
  <si>
    <t>実装計画・見積確定</t>
    <rPh sb="0" eb="2">
      <t>ジッソウ</t>
    </rPh>
    <rPh sb="2" eb="4">
      <t>ケイカク</t>
    </rPh>
    <rPh sb="5" eb="7">
      <t>ミツ</t>
    </rPh>
    <rPh sb="7" eb="9">
      <t>カクテイ</t>
    </rPh>
    <phoneticPr fontId="29"/>
  </si>
  <si>
    <t>フェーズ 3 実装・検証</t>
    <rPh sb="7" eb="9">
      <t>ジッソウ</t>
    </rPh>
    <rPh sb="10" eb="12">
      <t>ケンショウ</t>
    </rPh>
    <phoneticPr fontId="29"/>
  </si>
  <si>
    <t>コア機能実装</t>
    <rPh sb="2" eb="4">
      <t>キノウ</t>
    </rPh>
    <rPh sb="4" eb="6">
      <t>ジッソウ</t>
    </rPh>
    <phoneticPr fontId="29"/>
  </si>
  <si>
    <t>例外/エッジケース対応</t>
    <rPh sb="0" eb="2">
      <t>レイガイ</t>
    </rPh>
    <rPh sb="9" eb="11">
      <t>タイオウ</t>
    </rPh>
    <phoneticPr fontId="29"/>
  </si>
  <si>
    <t>単体テスト作成</t>
    <rPh sb="0" eb="2">
      <t>タンタイ</t>
    </rPh>
    <rPh sb="5" eb="7">
      <t>サクセイ</t>
    </rPh>
    <phoneticPr fontId="29"/>
  </si>
  <si>
    <t>結合テスト準備</t>
    <rPh sb="0" eb="2">
      <t>ケツゴウ</t>
    </rPh>
    <rPh sb="5" eb="7">
      <t>ジュンビ</t>
    </rPh>
    <phoneticPr fontId="29"/>
  </si>
  <si>
    <t>ユーザー受け入れテスト</t>
    <rPh sb="4" eb="5">
      <t>ウ</t>
    </rPh>
    <rPh sb="6" eb="7">
      <t>イ</t>
    </rPh>
    <phoneticPr fontId="29"/>
  </si>
  <si>
    <t>フェーズ 4 リリース・運用</t>
    <rPh sb="12" eb="14">
      <t>ウンヨウ</t>
    </rPh>
    <phoneticPr fontId="29"/>
  </si>
  <si>
    <t>リリース手順書作成</t>
    <rPh sb="4" eb="7">
      <t>テジュンショ</t>
    </rPh>
    <rPh sb="7" eb="9">
      <t>サクセイ</t>
    </rPh>
    <phoneticPr fontId="29"/>
  </si>
  <si>
    <t>本番データ移行計画</t>
    <rPh sb="0" eb="2">
      <t>ホンバン</t>
    </rPh>
    <rPh sb="5" eb="9">
      <t>イコウケイカク</t>
    </rPh>
    <phoneticPr fontId="29"/>
  </si>
  <si>
    <t>監視・ログ設計</t>
    <rPh sb="0" eb="2">
      <t>カンシ</t>
    </rPh>
    <rPh sb="5" eb="7">
      <t>セッケイ</t>
    </rPh>
    <phoneticPr fontId="29"/>
  </si>
  <si>
    <t>運用手順/教育</t>
    <rPh sb="0" eb="2">
      <t>ウンヨウ</t>
    </rPh>
    <rPh sb="2" eb="4">
      <t>テジュン</t>
    </rPh>
    <rPh sb="5" eb="7">
      <t>キョウイク</t>
    </rPh>
    <phoneticPr fontId="29"/>
  </si>
  <si>
    <t>リリース後レビュー</t>
    <rPh sb="4" eb="5">
      <t>アト</t>
    </rPh>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</si>
</sst>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30"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8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6"/>
    <xf numFmtId="0" fontId="9" fillId="0" borderId="0" xfId="7">
      <alignment vertical="top"/>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3" borderId="2" xfId="10" applyFill="1">
      <alignment horizontal="center" vertical="center"/>
    </xf>
    <xf numFmtId="178" fontId="0" fillId="9" borderId="2" xfId="0" applyNumberFormat="1" applyFill="1" applyBorder="1" applyAlignment="1">
      <alignment horizontal="center" vertical="center"/>
    </xf>
    <xf numFmtId="178" fontId="25" fillId="9" borderId="2" xfId="0" applyNumberFormat="1" applyFont="1" applyFill="1" applyBorder="1" applyAlignment="1">
      <alignment horizontal="center" vertical="center"/>
    </xf>
    <xf numFmtId="178" fontId="1" fillId="4" borderId="2" xfId="10" applyFill="1">
      <alignment horizontal="center" vertical="center"/>
    </xf>
    <xf numFmtId="178" fontId="0" fillId="6" borderId="2" xfId="0" applyNumberFormat="1" applyFill="1" applyBorder="1" applyAlignment="1">
      <alignment horizontal="center" vertical="center"/>
    </xf>
    <xf numFmtId="178" fontId="25" fillId="6" borderId="2" xfId="0" applyNumberFormat="1" applyFont="1" applyFill="1" applyBorder="1" applyAlignment="1">
      <alignment horizontal="center" vertical="center"/>
    </xf>
    <xf numFmtId="178" fontId="1" fillId="11" borderId="2" xfId="10" applyFill="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10" borderId="2" xfId="10" applyFill="1">
      <alignment horizontal="center" vertical="center"/>
    </xf>
    <xf numFmtId="178" fontId="1" fillId="0" borderId="2" xfId="10">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0" fontId="1" fillId="0" borderId="0" xfId="8">
      <alignment horizontal="right" indent="1"/>
    </xf>
    <xf numFmtId="0" fontId="1" fillId="0" borderId="7" xfId="8" applyBorder="1">
      <alignment horizontal="right" indent="1"/>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179" fontId="1" fillId="0" borderId="3" xfId="9">
      <alignment horizontal="center"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sheetView>
  </sheetViews>
  <sheetFormatPr defaultRowHeight="30" customHeight="1" x14ac:dyDescent="0.3"/>
  <cols>
    <col min="1" max="1" width="2.54296875" style="8" customWidth="1"/>
    <col min="2" max="2" width="19.81640625" customWidth="1"/>
    <col min="3" max="3" width="30.54296875" customWidth="1"/>
    <col min="4" max="4" width="10.54296875" customWidth="1"/>
    <col min="5" max="5" width="10.1796875" style="2" customWidth="1"/>
    <col min="6" max="6" width="10.1796875" customWidth="1"/>
    <col min="7" max="7" width="2.54296875" customWidth="1"/>
    <col min="8" max="8" width="6" hidden="1" customWidth="1"/>
    <col min="9" max="64" width="2.453125" customWidth="1"/>
    <col min="66" max="68" width="7.1796875"/>
    <col min="69" max="70" width="8.453125"/>
  </cols>
  <sheetData>
    <row r="1" spans="1:64" ht="30" customHeight="1" x14ac:dyDescent="0.55000000000000004">
      <c r="A1" s="9" t="s">
        <v>0</v>
      </c>
      <c r="B1" s="11" t="s">
        <v>1</v>
      </c>
      <c r="C1" s="29"/>
      <c r="D1" s="30"/>
      <c r="E1" s="31"/>
      <c r="F1" s="32"/>
      <c r="H1" s="30"/>
      <c r="I1" s="33" t="s">
        <v>2</v>
      </c>
    </row>
    <row r="2" spans="1:64" ht="30" customHeight="1" x14ac:dyDescent="0.35">
      <c r="A2" s="8" t="s">
        <v>3</v>
      </c>
      <c r="B2" s="12" t="s">
        <v>4</v>
      </c>
      <c r="I2" s="34" t="s">
        <v>5</v>
      </c>
    </row>
    <row r="3" spans="1:64" ht="30" customHeight="1" x14ac:dyDescent="0.3">
      <c r="A3" s="8" t="s">
        <v>6</v>
      </c>
      <c r="B3" s="13" t="s">
        <v>7</v>
      </c>
      <c r="C3" s="77" t="s">
        <v>8</v>
      </c>
      <c r="D3" s="78"/>
      <c r="E3" s="82">
        <f ca="1">TODAY()</f>
        <v>46015</v>
      </c>
      <c r="F3" s="82"/>
    </row>
    <row r="4" spans="1:64" ht="30" customHeight="1" x14ac:dyDescent="0.3">
      <c r="A4" s="9" t="s">
        <v>9</v>
      </c>
      <c r="C4" s="77" t="s">
        <v>10</v>
      </c>
      <c r="D4" s="78"/>
      <c r="E4" s="4">
        <v>1</v>
      </c>
      <c r="I4" s="79">
        <f ca="1">I5</f>
        <v>46013</v>
      </c>
      <c r="J4" s="80"/>
      <c r="K4" s="80"/>
      <c r="L4" s="80"/>
      <c r="M4" s="80"/>
      <c r="N4" s="80"/>
      <c r="O4" s="81"/>
      <c r="P4" s="79">
        <f ca="1">P5</f>
        <v>46020</v>
      </c>
      <c r="Q4" s="80"/>
      <c r="R4" s="80"/>
      <c r="S4" s="80"/>
      <c r="T4" s="80"/>
      <c r="U4" s="80"/>
      <c r="V4" s="81"/>
      <c r="W4" s="79">
        <f ca="1">W5</f>
        <v>46027</v>
      </c>
      <c r="X4" s="80"/>
      <c r="Y4" s="80"/>
      <c r="Z4" s="80"/>
      <c r="AA4" s="80"/>
      <c r="AB4" s="80"/>
      <c r="AC4" s="81"/>
      <c r="AD4" s="79">
        <f ca="1">AD5</f>
        <v>46034</v>
      </c>
      <c r="AE4" s="80"/>
      <c r="AF4" s="80"/>
      <c r="AG4" s="80"/>
      <c r="AH4" s="80"/>
      <c r="AI4" s="80"/>
      <c r="AJ4" s="81"/>
      <c r="AK4" s="79">
        <f ca="1">AK5</f>
        <v>46041</v>
      </c>
      <c r="AL4" s="80"/>
      <c r="AM4" s="80"/>
      <c r="AN4" s="80"/>
      <c r="AO4" s="80"/>
      <c r="AP4" s="80"/>
      <c r="AQ4" s="81"/>
      <c r="AR4" s="79">
        <f ca="1">AR5</f>
        <v>46048</v>
      </c>
      <c r="AS4" s="80"/>
      <c r="AT4" s="80"/>
      <c r="AU4" s="80"/>
      <c r="AV4" s="80"/>
      <c r="AW4" s="80"/>
      <c r="AX4" s="81"/>
      <c r="AY4" s="79">
        <f ca="1">AY5</f>
        <v>46055</v>
      </c>
      <c r="AZ4" s="80"/>
      <c r="BA4" s="80"/>
      <c r="BB4" s="80"/>
      <c r="BC4" s="80"/>
      <c r="BD4" s="80"/>
      <c r="BE4" s="81"/>
      <c r="BF4" s="79">
        <f ca="1">BF5</f>
        <v>46062</v>
      </c>
      <c r="BG4" s="80"/>
      <c r="BH4" s="80"/>
      <c r="BI4" s="80"/>
      <c r="BJ4" s="80"/>
      <c r="BK4" s="80"/>
      <c r="BL4" s="81"/>
    </row>
    <row r="5" spans="1:64" ht="15" customHeight="1" x14ac:dyDescent="0.3">
      <c r="A5" s="9" t="s">
        <v>11</v>
      </c>
      <c r="B5" s="28"/>
      <c r="C5" s="28"/>
      <c r="D5" s="28"/>
      <c r="E5" s="28"/>
      <c r="F5" s="28"/>
      <c r="G5" s="28"/>
      <c r="I5" s="74">
        <f ca="1">プロジェクトの開始-WEEKDAY(プロジェクトの開始,1)+2+7*(週表示-1)</f>
        <v>46013</v>
      </c>
      <c r="J5" s="75">
        <f ca="1">I5+1</f>
        <v>46014</v>
      </c>
      <c r="K5" s="75">
        <f t="shared" ref="K5:AX5" ca="1" si="0">J5+1</f>
        <v>46015</v>
      </c>
      <c r="L5" s="75">
        <f t="shared" ca="1" si="0"/>
        <v>46016</v>
      </c>
      <c r="M5" s="75">
        <f t="shared" ca="1" si="0"/>
        <v>46017</v>
      </c>
      <c r="N5" s="75">
        <f t="shared" ca="1" si="0"/>
        <v>46018</v>
      </c>
      <c r="O5" s="76">
        <f t="shared" ca="1" si="0"/>
        <v>46019</v>
      </c>
      <c r="P5" s="74">
        <f ca="1">O5+1</f>
        <v>46020</v>
      </c>
      <c r="Q5" s="75">
        <f ca="1">P5+1</f>
        <v>46021</v>
      </c>
      <c r="R5" s="75">
        <f t="shared" ca="1" si="0"/>
        <v>46022</v>
      </c>
      <c r="S5" s="75">
        <f t="shared" ca="1" si="0"/>
        <v>46023</v>
      </c>
      <c r="T5" s="75">
        <f t="shared" ca="1" si="0"/>
        <v>46024</v>
      </c>
      <c r="U5" s="75">
        <f t="shared" ca="1" si="0"/>
        <v>46025</v>
      </c>
      <c r="V5" s="76">
        <f t="shared" ca="1" si="0"/>
        <v>46026</v>
      </c>
      <c r="W5" s="74">
        <f ca="1">V5+1</f>
        <v>46027</v>
      </c>
      <c r="X5" s="75">
        <f ca="1">W5+1</f>
        <v>46028</v>
      </c>
      <c r="Y5" s="75">
        <f t="shared" ca="1" si="0"/>
        <v>46029</v>
      </c>
      <c r="Z5" s="75">
        <f t="shared" ca="1" si="0"/>
        <v>46030</v>
      </c>
      <c r="AA5" s="75">
        <f t="shared" ca="1" si="0"/>
        <v>46031</v>
      </c>
      <c r="AB5" s="75">
        <f t="shared" ca="1" si="0"/>
        <v>46032</v>
      </c>
      <c r="AC5" s="76">
        <f t="shared" ca="1" si="0"/>
        <v>46033</v>
      </c>
      <c r="AD5" s="74">
        <f ca="1">AC5+1</f>
        <v>46034</v>
      </c>
      <c r="AE5" s="75">
        <f ca="1">AD5+1</f>
        <v>46035</v>
      </c>
      <c r="AF5" s="75">
        <f t="shared" ca="1" si="0"/>
        <v>46036</v>
      </c>
      <c r="AG5" s="75">
        <f t="shared" ca="1" si="0"/>
        <v>46037</v>
      </c>
      <c r="AH5" s="75">
        <f t="shared" ca="1" si="0"/>
        <v>46038</v>
      </c>
      <c r="AI5" s="75">
        <f t="shared" ca="1" si="0"/>
        <v>46039</v>
      </c>
      <c r="AJ5" s="76">
        <f t="shared" ca="1" si="0"/>
        <v>46040</v>
      </c>
      <c r="AK5" s="74">
        <f ca="1">AJ5+1</f>
        <v>46041</v>
      </c>
      <c r="AL5" s="75">
        <f ca="1">AK5+1</f>
        <v>46042</v>
      </c>
      <c r="AM5" s="75">
        <f t="shared" ca="1" si="0"/>
        <v>46043</v>
      </c>
      <c r="AN5" s="75">
        <f t="shared" ca="1" si="0"/>
        <v>46044</v>
      </c>
      <c r="AO5" s="75">
        <f t="shared" ca="1" si="0"/>
        <v>46045</v>
      </c>
      <c r="AP5" s="75">
        <f t="shared" ca="1" si="0"/>
        <v>46046</v>
      </c>
      <c r="AQ5" s="76">
        <f t="shared" ca="1" si="0"/>
        <v>46047</v>
      </c>
      <c r="AR5" s="74">
        <f ca="1">AQ5+1</f>
        <v>46048</v>
      </c>
      <c r="AS5" s="75">
        <f ca="1">AR5+1</f>
        <v>46049</v>
      </c>
      <c r="AT5" s="75">
        <f t="shared" ca="1" si="0"/>
        <v>46050</v>
      </c>
      <c r="AU5" s="75">
        <f t="shared" ca="1" si="0"/>
        <v>46051</v>
      </c>
      <c r="AV5" s="75">
        <f t="shared" ca="1" si="0"/>
        <v>46052</v>
      </c>
      <c r="AW5" s="75">
        <f t="shared" ca="1" si="0"/>
        <v>46053</v>
      </c>
      <c r="AX5" s="76">
        <f t="shared" ca="1" si="0"/>
        <v>46054</v>
      </c>
      <c r="AY5" s="74">
        <f ca="1">AX5+1</f>
        <v>46055</v>
      </c>
      <c r="AZ5" s="75">
        <f ca="1">AY5+1</f>
        <v>46056</v>
      </c>
      <c r="BA5" s="75">
        <f t="shared" ref="BA5:BE5" ca="1" si="1">AZ5+1</f>
        <v>46057</v>
      </c>
      <c r="BB5" s="75">
        <f t="shared" ca="1" si="1"/>
        <v>46058</v>
      </c>
      <c r="BC5" s="75">
        <f t="shared" ca="1" si="1"/>
        <v>46059</v>
      </c>
      <c r="BD5" s="75">
        <f t="shared" ca="1" si="1"/>
        <v>46060</v>
      </c>
      <c r="BE5" s="76">
        <f t="shared" ca="1" si="1"/>
        <v>46061</v>
      </c>
      <c r="BF5" s="74">
        <f ca="1">BE5+1</f>
        <v>46062</v>
      </c>
      <c r="BG5" s="75">
        <f ca="1">BF5+1</f>
        <v>46063</v>
      </c>
      <c r="BH5" s="75">
        <f t="shared" ref="BH5:BL5" ca="1" si="2">BG5+1</f>
        <v>46064</v>
      </c>
      <c r="BI5" s="75">
        <f t="shared" ca="1" si="2"/>
        <v>46065</v>
      </c>
      <c r="BJ5" s="75">
        <f t="shared" ca="1" si="2"/>
        <v>46066</v>
      </c>
      <c r="BK5" s="75">
        <f t="shared" ca="1" si="2"/>
        <v>46067</v>
      </c>
      <c r="BL5" s="76">
        <f t="shared" ca="1" si="2"/>
        <v>46068</v>
      </c>
    </row>
    <row r="6" spans="1:64" ht="30" customHeight="1" thickBot="1" x14ac:dyDescent="0.35">
      <c r="A6" s="9" t="s">
        <v>12</v>
      </c>
      <c r="B6" s="35" t="s">
        <v>13</v>
      </c>
      <c r="C6" s="36" t="s">
        <v>14</v>
      </c>
      <c r="D6" s="36" t="s">
        <v>15</v>
      </c>
      <c r="E6" s="36" t="s">
        <v>16</v>
      </c>
      <c r="F6" s="36" t="s">
        <v>17</v>
      </c>
      <c r="G6" s="36"/>
      <c r="H6" s="36" t="s">
        <v>18</v>
      </c>
      <c r="I6" s="37" t="str">
        <f t="shared" ref="I6:AN6" ca="1" si="3">LEFT(TEXT(I5,"aaa"),1)</f>
        <v>月</v>
      </c>
      <c r="J6" s="37" t="str">
        <f t="shared" ca="1" si="3"/>
        <v>火</v>
      </c>
      <c r="K6" s="37" t="str">
        <f t="shared" ca="1" si="3"/>
        <v>水</v>
      </c>
      <c r="L6" s="37" t="str">
        <f t="shared" ca="1" si="3"/>
        <v>木</v>
      </c>
      <c r="M6" s="37" t="str">
        <f t="shared" ca="1" si="3"/>
        <v>金</v>
      </c>
      <c r="N6" s="37" t="str">
        <f t="shared" ca="1" si="3"/>
        <v>土</v>
      </c>
      <c r="O6" s="37" t="str">
        <f t="shared" ca="1" si="3"/>
        <v>日</v>
      </c>
      <c r="P6" s="37" t="str">
        <f t="shared" ca="1" si="3"/>
        <v>月</v>
      </c>
      <c r="Q6" s="37" t="str">
        <f t="shared" ca="1" si="3"/>
        <v>火</v>
      </c>
      <c r="R6" s="37" t="str">
        <f t="shared" ca="1" si="3"/>
        <v>水</v>
      </c>
      <c r="S6" s="37" t="str">
        <f t="shared" ca="1" si="3"/>
        <v>木</v>
      </c>
      <c r="T6" s="37" t="str">
        <f t="shared" ca="1" si="3"/>
        <v>金</v>
      </c>
      <c r="U6" s="37" t="str">
        <f t="shared" ca="1" si="3"/>
        <v>土</v>
      </c>
      <c r="V6" s="37" t="str">
        <f t="shared" ca="1" si="3"/>
        <v>日</v>
      </c>
      <c r="W6" s="37" t="str">
        <f t="shared" ca="1" si="3"/>
        <v>月</v>
      </c>
      <c r="X6" s="37" t="str">
        <f t="shared" ca="1" si="3"/>
        <v>火</v>
      </c>
      <c r="Y6" s="37" t="str">
        <f t="shared" ca="1" si="3"/>
        <v>水</v>
      </c>
      <c r="Z6" s="37" t="str">
        <f t="shared" ca="1" si="3"/>
        <v>木</v>
      </c>
      <c r="AA6" s="37" t="str">
        <f t="shared" ca="1" si="3"/>
        <v>金</v>
      </c>
      <c r="AB6" s="37" t="str">
        <f t="shared" ca="1" si="3"/>
        <v>土</v>
      </c>
      <c r="AC6" s="37" t="str">
        <f t="shared" ca="1" si="3"/>
        <v>日</v>
      </c>
      <c r="AD6" s="37" t="str">
        <f t="shared" ca="1" si="3"/>
        <v>月</v>
      </c>
      <c r="AE6" s="37" t="str">
        <f t="shared" ca="1" si="3"/>
        <v>火</v>
      </c>
      <c r="AF6" s="37" t="str">
        <f t="shared" ca="1" si="3"/>
        <v>水</v>
      </c>
      <c r="AG6" s="37" t="str">
        <f t="shared" ca="1" si="3"/>
        <v>木</v>
      </c>
      <c r="AH6" s="37" t="str">
        <f t="shared" ca="1" si="3"/>
        <v>金</v>
      </c>
      <c r="AI6" s="37" t="str">
        <f t="shared" ca="1" si="3"/>
        <v>土</v>
      </c>
      <c r="AJ6" s="37" t="str">
        <f t="shared" ca="1" si="3"/>
        <v>日</v>
      </c>
      <c r="AK6" s="37" t="str">
        <f t="shared" ca="1" si="3"/>
        <v>月</v>
      </c>
      <c r="AL6" s="37" t="str">
        <f t="shared" ca="1" si="3"/>
        <v>火</v>
      </c>
      <c r="AM6" s="37" t="str">
        <f t="shared" ca="1" si="3"/>
        <v>水</v>
      </c>
      <c r="AN6" s="37" t="str">
        <f t="shared" ca="1" si="3"/>
        <v>木</v>
      </c>
      <c r="AO6" s="37" t="str">
        <f t="shared" ref="AO6:BL6" ca="1" si="4">LEFT(TEXT(AO5,"aaa"),1)</f>
        <v>金</v>
      </c>
      <c r="AP6" s="37" t="str">
        <f t="shared" ca="1" si="4"/>
        <v>土</v>
      </c>
      <c r="AQ6" s="37" t="str">
        <f t="shared" ca="1" si="4"/>
        <v>日</v>
      </c>
      <c r="AR6" s="37" t="str">
        <f t="shared" ca="1" si="4"/>
        <v>月</v>
      </c>
      <c r="AS6" s="37" t="str">
        <f t="shared" ca="1" si="4"/>
        <v>火</v>
      </c>
      <c r="AT6" s="37" t="str">
        <f t="shared" ca="1" si="4"/>
        <v>水</v>
      </c>
      <c r="AU6" s="37" t="str">
        <f t="shared" ca="1" si="4"/>
        <v>木</v>
      </c>
      <c r="AV6" s="37" t="str">
        <f t="shared" ca="1" si="4"/>
        <v>金</v>
      </c>
      <c r="AW6" s="37" t="str">
        <f t="shared" ca="1" si="4"/>
        <v>土</v>
      </c>
      <c r="AX6" s="37" t="str">
        <f t="shared" ca="1" si="4"/>
        <v>日</v>
      </c>
      <c r="AY6" s="37" t="str">
        <f t="shared" ca="1" si="4"/>
        <v>月</v>
      </c>
      <c r="AZ6" s="37" t="str">
        <f t="shared" ca="1" si="4"/>
        <v>火</v>
      </c>
      <c r="BA6" s="37" t="str">
        <f t="shared" ca="1" si="4"/>
        <v>水</v>
      </c>
      <c r="BB6" s="37" t="str">
        <f t="shared" ca="1" si="4"/>
        <v>木</v>
      </c>
      <c r="BC6" s="37" t="str">
        <f t="shared" ca="1" si="4"/>
        <v>金</v>
      </c>
      <c r="BD6" s="37" t="str">
        <f t="shared" ca="1" si="4"/>
        <v>土</v>
      </c>
      <c r="BE6" s="37" t="str">
        <f t="shared" ca="1" si="4"/>
        <v>日</v>
      </c>
      <c r="BF6" s="37" t="str">
        <f t="shared" ca="1" si="4"/>
        <v>月</v>
      </c>
      <c r="BG6" s="37" t="str">
        <f t="shared" ca="1" si="4"/>
        <v>火</v>
      </c>
      <c r="BH6" s="37" t="str">
        <f t="shared" ca="1" si="4"/>
        <v>水</v>
      </c>
      <c r="BI6" s="37" t="str">
        <f t="shared" ca="1" si="4"/>
        <v>木</v>
      </c>
      <c r="BJ6" s="37" t="str">
        <f t="shared" ca="1" si="4"/>
        <v>金</v>
      </c>
      <c r="BK6" s="37" t="str">
        <f t="shared" ca="1" si="4"/>
        <v>土</v>
      </c>
      <c r="BL6" s="37" t="str">
        <f t="shared" ca="1" si="4"/>
        <v>日</v>
      </c>
    </row>
    <row r="7" spans="1:64" ht="30" hidden="1" customHeight="1" thickBot="1" x14ac:dyDescent="0.35">
      <c r="A7" s="8" t="s">
        <v>19</v>
      </c>
      <c r="C7" s="10"/>
      <c r="E7"/>
      <c r="H7" t="str">
        <f>IF(OR(ISBLANK(タスク_開始),ISBLANK(タスク_終了)),"",タスク_終了-タスク_開始+1)</f>
        <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row>
    <row r="8" spans="1:64" s="1" customFormat="1" ht="30" customHeight="1" thickBot="1" x14ac:dyDescent="0.35">
      <c r="A8" s="9" t="s">
        <v>20</v>
      </c>
      <c r="B8" s="38" t="s">
        <v>35</v>
      </c>
      <c r="C8" s="14"/>
      <c r="D8" s="39"/>
      <c r="E8" s="59"/>
      <c r="F8" s="60"/>
      <c r="G8" s="40"/>
      <c r="H8" s="40" t="str">
        <f t="shared" ref="H8:H33" si="5">IF(OR(ISBLANK(タスク_開始),ISBLANK(タスク_終了)),"",タスク_終了-タスク_開始+1)</f>
        <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row>
    <row r="9" spans="1:64" s="1" customFormat="1" ht="30" customHeight="1" thickBot="1" x14ac:dyDescent="0.35">
      <c r="A9" s="9" t="s">
        <v>21</v>
      </c>
      <c r="B9" s="23" t="s">
        <v>30</v>
      </c>
      <c r="C9" s="15" t="s">
        <v>22</v>
      </c>
      <c r="D9" s="41">
        <v>0.5</v>
      </c>
      <c r="E9" s="61">
        <f ca="1">プロジェクトの開始</f>
        <v>46015</v>
      </c>
      <c r="F9" s="61">
        <f ca="1">E9+3</f>
        <v>46018</v>
      </c>
      <c r="G9" s="40"/>
      <c r="H9" s="40">
        <f t="shared" ca="1" si="5"/>
        <v>4</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row>
    <row r="10" spans="1:64" s="1" customFormat="1" ht="30" customHeight="1" x14ac:dyDescent="0.3">
      <c r="A10" s="9" t="s">
        <v>23</v>
      </c>
      <c r="B10" s="23" t="s">
        <v>31</v>
      </c>
      <c r="C10" s="15"/>
      <c r="D10" s="41">
        <v>0.6</v>
      </c>
      <c r="E10" s="61">
        <f ca="1">F9</f>
        <v>46018</v>
      </c>
      <c r="F10" s="61">
        <f ca="1">E10+2</f>
        <v>46020</v>
      </c>
      <c r="G10" s="40"/>
      <c r="H10" s="40">
        <f t="shared" ca="1" si="5"/>
        <v>3</v>
      </c>
      <c r="I10" s="5"/>
      <c r="J10" s="5"/>
      <c r="K10" s="5"/>
      <c r="L10" s="5"/>
      <c r="M10" s="5"/>
      <c r="N10" s="5"/>
      <c r="O10" s="5"/>
      <c r="P10" s="5"/>
      <c r="Q10" s="5"/>
      <c r="R10" s="5"/>
      <c r="S10" s="5"/>
      <c r="T10" s="5"/>
      <c r="U10" s="6"/>
      <c r="V10" s="6"/>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row>
    <row r="11" spans="1:64" s="1" customFormat="1" ht="30" customHeight="1" thickBot="1" x14ac:dyDescent="0.35">
      <c r="A11" s="8"/>
      <c r="B11" s="23" t="s">
        <v>32</v>
      </c>
      <c r="C11" s="15"/>
      <c r="D11" s="41">
        <v>0.5</v>
      </c>
      <c r="E11" s="61">
        <f ca="1">F10</f>
        <v>46020</v>
      </c>
      <c r="F11" s="61">
        <f ca="1">E11+4</f>
        <v>46024</v>
      </c>
      <c r="G11" s="40"/>
      <c r="H11" s="40">
        <f t="shared" ca="1" si="5"/>
        <v>5</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row>
    <row r="12" spans="1:64" s="1" customFormat="1" ht="30" customHeight="1" thickBot="1" x14ac:dyDescent="0.35">
      <c r="A12" s="8"/>
      <c r="B12" s="23" t="s">
        <v>33</v>
      </c>
      <c r="C12" s="15"/>
      <c r="D12" s="41">
        <v>0.25</v>
      </c>
      <c r="E12" s="61">
        <f ca="1">F11</f>
        <v>46024</v>
      </c>
      <c r="F12" s="61">
        <f ca="1">E12+5</f>
        <v>46029</v>
      </c>
      <c r="G12" s="40"/>
      <c r="H12" s="40">
        <f t="shared" ca="1" si="5"/>
        <v>6</v>
      </c>
      <c r="I12" s="5"/>
      <c r="J12" s="5"/>
      <c r="K12" s="5"/>
      <c r="L12" s="5"/>
      <c r="M12" s="5"/>
      <c r="N12" s="5"/>
      <c r="O12" s="5"/>
      <c r="P12" s="5"/>
      <c r="Q12" s="5"/>
      <c r="R12" s="5"/>
      <c r="S12" s="5"/>
      <c r="T12" s="5"/>
      <c r="U12" s="5"/>
      <c r="V12" s="5"/>
      <c r="W12" s="5"/>
      <c r="X12" s="5"/>
      <c r="Y12" s="6"/>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row>
    <row r="13" spans="1:64" s="1" customFormat="1" ht="30" customHeight="1" thickBot="1" x14ac:dyDescent="0.35">
      <c r="A13" s="8"/>
      <c r="B13" s="23" t="s">
        <v>34</v>
      </c>
      <c r="C13" s="15"/>
      <c r="D13" s="41"/>
      <c r="E13" s="61">
        <f ca="1">E10+1</f>
        <v>46019</v>
      </c>
      <c r="F13" s="61">
        <f ca="1">E13+2</f>
        <v>46021</v>
      </c>
      <c r="G13" s="40"/>
      <c r="H13" s="40">
        <f t="shared" ca="1" si="5"/>
        <v>3</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row>
    <row r="14" spans="1:64" s="1" customFormat="1" ht="30" customHeight="1" thickBot="1" x14ac:dyDescent="0.35">
      <c r="A14" s="9" t="s">
        <v>24</v>
      </c>
      <c r="B14" s="42" t="s">
        <v>36</v>
      </c>
      <c r="C14" s="16"/>
      <c r="D14" s="43"/>
      <c r="E14" s="62"/>
      <c r="F14" s="63"/>
      <c r="G14" s="40"/>
      <c r="H14" s="40" t="str">
        <f t="shared" si="5"/>
        <v/>
      </c>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row>
    <row r="15" spans="1:64" s="1" customFormat="1" ht="30" customHeight="1" thickBot="1" x14ac:dyDescent="0.35">
      <c r="A15" s="9"/>
      <c r="B15" s="24" t="s">
        <v>37</v>
      </c>
      <c r="C15" s="17"/>
      <c r="D15" s="44">
        <v>0.5</v>
      </c>
      <c r="E15" s="64">
        <f ca="1">E13+1</f>
        <v>46020</v>
      </c>
      <c r="F15" s="64">
        <f ca="1">E15+4</f>
        <v>46024</v>
      </c>
      <c r="G15" s="40"/>
      <c r="H15" s="40">
        <f t="shared" ca="1" si="5"/>
        <v>5</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row>
    <row r="16" spans="1:64" s="1" customFormat="1" ht="30" customHeight="1" thickBot="1" x14ac:dyDescent="0.35">
      <c r="A16" s="8"/>
      <c r="B16" s="24" t="s">
        <v>38</v>
      </c>
      <c r="C16" s="17"/>
      <c r="D16" s="44">
        <v>0.5</v>
      </c>
      <c r="E16" s="64">
        <f ca="1">E15+2</f>
        <v>46022</v>
      </c>
      <c r="F16" s="64">
        <f ca="1">E16+5</f>
        <v>46027</v>
      </c>
      <c r="G16" s="40"/>
      <c r="H16" s="40">
        <f t="shared" ca="1" si="5"/>
        <v>6</v>
      </c>
      <c r="I16" s="5"/>
      <c r="J16" s="5"/>
      <c r="K16" s="5"/>
      <c r="L16" s="5"/>
      <c r="M16" s="5"/>
      <c r="N16" s="5"/>
      <c r="O16" s="5"/>
      <c r="P16" s="5"/>
      <c r="Q16" s="5"/>
      <c r="R16" s="5"/>
      <c r="S16" s="5"/>
      <c r="T16" s="5"/>
      <c r="U16" s="6"/>
      <c r="V16" s="6"/>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row>
    <row r="17" spans="1:64" s="1" customFormat="1" ht="30" customHeight="1" thickBot="1" x14ac:dyDescent="0.35">
      <c r="A17" s="8"/>
      <c r="B17" s="24" t="s">
        <v>39</v>
      </c>
      <c r="C17" s="17"/>
      <c r="D17" s="44"/>
      <c r="E17" s="64">
        <f ca="1">F16</f>
        <v>46027</v>
      </c>
      <c r="F17" s="64">
        <f ca="1">E17+3</f>
        <v>46030</v>
      </c>
      <c r="G17" s="40"/>
      <c r="H17" s="40">
        <f t="shared" ca="1" si="5"/>
        <v>4</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row>
    <row r="18" spans="1:64" s="1" customFormat="1" ht="30" customHeight="1" thickBot="1" x14ac:dyDescent="0.35">
      <c r="A18" s="8"/>
      <c r="B18" s="24" t="s">
        <v>40</v>
      </c>
      <c r="C18" s="17"/>
      <c r="D18" s="44"/>
      <c r="E18" s="64">
        <f ca="1">E17</f>
        <v>46027</v>
      </c>
      <c r="F18" s="64">
        <f ca="1">E18+2</f>
        <v>46029</v>
      </c>
      <c r="G18" s="40"/>
      <c r="H18" s="40">
        <f t="shared" ca="1" si="5"/>
        <v>3</v>
      </c>
      <c r="I18" s="5"/>
      <c r="J18" s="5"/>
      <c r="K18" s="5"/>
      <c r="L18" s="5"/>
      <c r="M18" s="5"/>
      <c r="N18" s="5"/>
      <c r="O18" s="5"/>
      <c r="P18" s="5"/>
      <c r="Q18" s="5"/>
      <c r="R18" s="5"/>
      <c r="S18" s="5"/>
      <c r="T18" s="5"/>
      <c r="U18" s="5"/>
      <c r="V18" s="5"/>
      <c r="W18" s="5"/>
      <c r="X18" s="5"/>
      <c r="Y18" s="6"/>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row>
    <row r="19" spans="1:64" s="1" customFormat="1" ht="30" customHeight="1" thickBot="1" x14ac:dyDescent="0.35">
      <c r="A19" s="8"/>
      <c r="B19" s="24" t="s">
        <v>41</v>
      </c>
      <c r="C19" s="17"/>
      <c r="D19" s="44"/>
      <c r="E19" s="64">
        <f ca="1">E18</f>
        <v>46027</v>
      </c>
      <c r="F19" s="64">
        <f ca="1">E19+3</f>
        <v>46030</v>
      </c>
      <c r="G19" s="40"/>
      <c r="H19" s="40">
        <f t="shared" ca="1" si="5"/>
        <v>4</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row>
    <row r="20" spans="1:64" s="1" customFormat="1" ht="30" customHeight="1" thickBot="1" x14ac:dyDescent="0.35">
      <c r="A20" s="8" t="s">
        <v>25</v>
      </c>
      <c r="B20" s="45" t="s">
        <v>42</v>
      </c>
      <c r="C20" s="18"/>
      <c r="D20" s="46"/>
      <c r="E20" s="65"/>
      <c r="F20" s="66"/>
      <c r="G20" s="40"/>
      <c r="H20" s="40" t="str">
        <f t="shared" si="5"/>
        <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row>
    <row r="21" spans="1:64" s="1" customFormat="1" ht="30" customHeight="1" thickBot="1" x14ac:dyDescent="0.35">
      <c r="A21" s="8"/>
      <c r="B21" s="25" t="s">
        <v>43</v>
      </c>
      <c r="C21" s="19"/>
      <c r="D21" s="47"/>
      <c r="E21" s="67">
        <f ca="1">E9+15</f>
        <v>46030</v>
      </c>
      <c r="F21" s="67">
        <f ca="1">E21+5</f>
        <v>46035</v>
      </c>
      <c r="G21" s="40"/>
      <c r="H21" s="40">
        <f t="shared" ca="1" si="5"/>
        <v>6</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row>
    <row r="22" spans="1:64" s="1" customFormat="1" ht="30" customHeight="1" thickBot="1" x14ac:dyDescent="0.35">
      <c r="A22" s="8"/>
      <c r="B22" s="25" t="s">
        <v>44</v>
      </c>
      <c r="C22" s="19"/>
      <c r="D22" s="47"/>
      <c r="E22" s="67">
        <f ca="1">F21+1</f>
        <v>46036</v>
      </c>
      <c r="F22" s="67">
        <f ca="1">E22+4</f>
        <v>46040</v>
      </c>
      <c r="G22" s="40"/>
      <c r="H22" s="40">
        <f t="shared" ca="1" si="5"/>
        <v>5</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row>
    <row r="23" spans="1:64" s="1" customFormat="1" ht="30" customHeight="1" thickBot="1" x14ac:dyDescent="0.35">
      <c r="A23" s="8"/>
      <c r="B23" s="25" t="s">
        <v>45</v>
      </c>
      <c r="C23" s="19"/>
      <c r="D23" s="47"/>
      <c r="E23" s="67">
        <f ca="1">E22+5</f>
        <v>46041</v>
      </c>
      <c r="F23" s="67">
        <f ca="1">E23+5</f>
        <v>46046</v>
      </c>
      <c r="G23" s="40"/>
      <c r="H23" s="40">
        <f t="shared" ca="1" si="5"/>
        <v>6</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row>
    <row r="24" spans="1:64" s="1" customFormat="1" ht="30" customHeight="1" thickBot="1" x14ac:dyDescent="0.35">
      <c r="A24" s="8"/>
      <c r="B24" s="25" t="s">
        <v>46</v>
      </c>
      <c r="C24" s="19"/>
      <c r="D24" s="47"/>
      <c r="E24" s="67">
        <f ca="1">F23+1</f>
        <v>46047</v>
      </c>
      <c r="F24" s="67">
        <f ca="1">E24+4</f>
        <v>46051</v>
      </c>
      <c r="G24" s="40"/>
      <c r="H24" s="40">
        <f t="shared" ca="1" si="5"/>
        <v>5</v>
      </c>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row>
    <row r="25" spans="1:64" s="1" customFormat="1" ht="30" customHeight="1" thickBot="1" x14ac:dyDescent="0.35">
      <c r="A25" s="8"/>
      <c r="B25" s="25" t="s">
        <v>47</v>
      </c>
      <c r="C25" s="19"/>
      <c r="D25" s="47"/>
      <c r="E25" s="67">
        <f ca="1">E23</f>
        <v>46041</v>
      </c>
      <c r="F25" s="67">
        <f ca="1">E25+4</f>
        <v>46045</v>
      </c>
      <c r="G25" s="40"/>
      <c r="H25" s="40">
        <f t="shared" ca="1" si="5"/>
        <v>5</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row>
    <row r="26" spans="1:64" s="1" customFormat="1" ht="30" customHeight="1" thickBot="1" x14ac:dyDescent="0.35">
      <c r="A26" s="8" t="s">
        <v>25</v>
      </c>
      <c r="B26" s="48" t="s">
        <v>48</v>
      </c>
      <c r="C26" s="20"/>
      <c r="D26" s="49"/>
      <c r="E26" s="68"/>
      <c r="F26" s="69"/>
      <c r="G26" s="40"/>
      <c r="H26" s="40" t="str">
        <f t="shared" si="5"/>
        <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row>
    <row r="27" spans="1:64" s="1" customFormat="1" ht="30" customHeight="1" thickBot="1" x14ac:dyDescent="0.35">
      <c r="A27" s="8"/>
      <c r="B27" s="26" t="s">
        <v>49</v>
      </c>
      <c r="C27" s="21"/>
      <c r="D27" s="50"/>
      <c r="E27" s="70" t="s">
        <v>26</v>
      </c>
      <c r="F27" s="70" t="s">
        <v>26</v>
      </c>
      <c r="G27" s="40"/>
      <c r="H27" s="40" t="e">
        <f t="shared" si="5"/>
        <v>#VALUE!</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row>
    <row r="28" spans="1:64" s="1" customFormat="1" ht="30" customHeight="1" thickBot="1" x14ac:dyDescent="0.35">
      <c r="A28" s="8"/>
      <c r="B28" s="26" t="s">
        <v>50</v>
      </c>
      <c r="C28" s="21"/>
      <c r="D28" s="50"/>
      <c r="E28" s="70" t="s">
        <v>26</v>
      </c>
      <c r="F28" s="70" t="s">
        <v>26</v>
      </c>
      <c r="G28" s="40"/>
      <c r="H28" s="40" t="e">
        <f t="shared" si="5"/>
        <v>#VALUE!</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row>
    <row r="29" spans="1:64" s="1" customFormat="1" ht="30" customHeight="1" thickBot="1" x14ac:dyDescent="0.35">
      <c r="A29" s="8"/>
      <c r="B29" s="26" t="s">
        <v>51</v>
      </c>
      <c r="C29" s="21"/>
      <c r="D29" s="50"/>
      <c r="E29" s="70" t="s">
        <v>26</v>
      </c>
      <c r="F29" s="70" t="s">
        <v>26</v>
      </c>
      <c r="G29" s="40"/>
      <c r="H29" s="40" t="e">
        <f t="shared" si="5"/>
        <v>#VALUE!</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row>
    <row r="30" spans="1:64" s="1" customFormat="1" ht="30" customHeight="1" thickBot="1" x14ac:dyDescent="0.35">
      <c r="A30" s="8"/>
      <c r="B30" s="26" t="s">
        <v>52</v>
      </c>
      <c r="C30" s="21"/>
      <c r="D30" s="50"/>
      <c r="E30" s="70" t="s">
        <v>26</v>
      </c>
      <c r="F30" s="70" t="s">
        <v>26</v>
      </c>
      <c r="G30" s="40"/>
      <c r="H30" s="40" t="e">
        <f t="shared" si="5"/>
        <v>#VALUE!</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row>
    <row r="31" spans="1:64" s="1" customFormat="1" ht="30" customHeight="1" thickBot="1" x14ac:dyDescent="0.35">
      <c r="A31" s="8"/>
      <c r="B31" s="26" t="s">
        <v>53</v>
      </c>
      <c r="C31" s="21"/>
      <c r="D31" s="50"/>
      <c r="E31" s="70" t="s">
        <v>26</v>
      </c>
      <c r="F31" s="70" t="s">
        <v>26</v>
      </c>
      <c r="G31" s="40"/>
      <c r="H31" s="40" t="e">
        <f t="shared" si="5"/>
        <v>#VALUE!</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row>
    <row r="32" spans="1:64" s="1" customFormat="1" ht="30" customHeight="1" thickBot="1" x14ac:dyDescent="0.35">
      <c r="A32" s="8" t="s">
        <v>27</v>
      </c>
      <c r="B32" s="27"/>
      <c r="C32" s="22"/>
      <c r="D32" s="51"/>
      <c r="E32" s="71"/>
      <c r="F32" s="71"/>
      <c r="G32" s="40"/>
      <c r="H32" s="40" t="str">
        <f t="shared" si="5"/>
        <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row>
    <row r="33" spans="1:64" s="1" customFormat="1" ht="30" customHeight="1" thickBot="1" x14ac:dyDescent="0.35">
      <c r="A33" s="9" t="s">
        <v>28</v>
      </c>
      <c r="B33" s="52" t="s">
        <v>29</v>
      </c>
      <c r="C33" s="53"/>
      <c r="D33" s="54"/>
      <c r="E33" s="72"/>
      <c r="F33" s="73"/>
      <c r="G33" s="55"/>
      <c r="H33" s="55" t="str">
        <f t="shared" si="5"/>
        <v/>
      </c>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row>
    <row r="34" spans="1:64" ht="30" customHeight="1" x14ac:dyDescent="0.3">
      <c r="G34" s="3"/>
    </row>
    <row r="35" spans="1:64" ht="30" customHeight="1" x14ac:dyDescent="0.3">
      <c r="C35" s="56"/>
      <c r="F35" s="57"/>
    </row>
    <row r="36" spans="1:64" ht="30" customHeight="1" x14ac:dyDescent="0.3">
      <c r="C36" s="58"/>
    </row>
  </sheetData>
  <mergeCells count="11">
    <mergeCell ref="BF4:BL4"/>
    <mergeCell ref="E3:F3"/>
    <mergeCell ref="I4:O4"/>
    <mergeCell ref="P4:V4"/>
    <mergeCell ref="W4:AC4"/>
    <mergeCell ref="AD4:AJ4"/>
    <mergeCell ref="C3:D3"/>
    <mergeCell ref="C4:D4"/>
    <mergeCell ref="AK4:AQ4"/>
    <mergeCell ref="AR4:AX4"/>
    <mergeCell ref="AY4:BE4"/>
  </mergeCells>
  <phoneticPr fontId="29"/>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AND(タスク_開始&lt;=I$5,ROUNDDOWN((タスク_終了-タスク_開始+1)*タスク_進捗状況,0)+タスク_開始-1&gt;=I$5)</formula>
    </cfRule>
    <cfRule type="expression" dxfId="0" priority="28"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32" max="16383" man="1"/>
  </rowBreaks>
  <colBreaks count="1" manualBreakCount="1">
    <brk id="1" max="1048575" man="1"/>
  </colBreaks>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6</vt:i4>
      </vt:variant>
    </vt:vector>
  </HeadingPairs>
  <TitlesOfParts>
    <vt:vector size="7" baseType="lpstr">
      <vt:lpstr>プロジェクトのスケジュール</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2025-12-22T13:22:41Z</dcterms:created>
  <dcterms:modified xsi:type="dcterms:W3CDTF">2025-12-24T05:36:03Z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